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rix" sheetId="1" state="visible" r:id="rId1"/>
    <sheet name="Summary" sheetId="2" state="visible" r:id="rId2"/>
    <sheet name="Legend" sheetId="3" state="visible" r:id="rId3"/>
    <sheet name="Mock inconsistencies" sheetId="4" state="visible" r:id="rId4"/>
  </sheets>
  <definedNames>
    <definedName name="_xlnm._FilterDatabase" localSheetId="0" hidden="1">'Matrix'!$A$1:$N$39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0"/>
    </font>
    <font>
      <name val="Arial"/>
      <b val="1"/>
      <sz val="12"/>
    </font>
    <font>
      <name val="Arial"/>
      <i val="1"/>
      <color rgb="005D6676"/>
      <sz val="10"/>
    </font>
  </fonts>
  <fills count="4">
    <fill>
      <patternFill/>
    </fill>
    <fill>
      <patternFill patternType="gray125"/>
    </fill>
    <fill>
      <patternFill patternType="solid">
        <fgColor rgb="001C2230"/>
      </patternFill>
    </fill>
    <fill>
      <patternFill patternType="solid">
        <fgColor rgb="00FFF9DB"/>
      </patternFill>
    </fill>
  </fills>
  <borders count="2">
    <border>
      <left/>
      <right/>
      <top/>
      <bottom/>
      <diagonal/>
    </border>
    <border>
      <left style="thin">
        <color rgb="00D9DDE5"/>
      </left>
      <right style="thin">
        <color rgb="00D9DDE5"/>
      </right>
      <top style="thin">
        <color rgb="00D9DDE5"/>
      </top>
      <bottom style="thin">
        <color rgb="00D9DDE5"/>
      </bottom>
    </border>
  </borders>
  <cellStyleXfs count="1">
    <xf numFmtId="0" fontId="0" fillId="0" borderId="0"/>
  </cellStyleXfs>
  <cellXfs count="1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4" fillId="0" borderId="0" pivotButton="0" quotePrefix="0" xfId="0"/>
    <xf numFmtId="0" fontId="5" fillId="0" borderId="0" pivotButton="0" quotePrefix="0" xfId="0"/>
    <xf numFmtId="0" fontId="1" fillId="2" borderId="1" applyAlignment="1" pivotButton="0" quotePrefix="0" xfId="0">
      <alignment vertical="center"/>
    </xf>
    <xf numFmtId="0" fontId="2" fillId="0" borderId="1" applyAlignment="1" pivotButton="0" quotePrefix="0" xfId="0">
      <alignment vertical="center"/>
    </xf>
    <xf numFmtId="0" fontId="3" fillId="0" borderId="1" applyAlignment="1" pivotButton="0" quotePrefix="0" xfId="0">
      <alignment vertical="center"/>
    </xf>
    <xf numFmtId="0" fontId="1" fillId="2"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dxfs count="3">
    <dxf>
      <font>
        <name val="Arial"/>
        <b val="1"/>
        <color rgb="00B3261E"/>
        <sz val="10"/>
      </font>
      <fill>
        <patternFill patternType="solid">
          <fgColor rgb="00FBE9E7"/>
        </patternFill>
      </fill>
    </dxf>
    <dxf>
      <font>
        <name val="Arial"/>
        <color rgb="008A5A00"/>
        <sz val="10"/>
      </font>
      <fill>
        <patternFill patternType="solid">
          <fgColor rgb="00FDF1D9"/>
        </patternFill>
      </fill>
    </dxf>
    <dxf>
      <font>
        <name val="Arial"/>
        <b val="1"/>
        <color rgb="002F5D8A"/>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34" customWidth="1" min="3" max="3"/>
    <col width="14" customWidth="1" min="4" max="4"/>
    <col width="22" customWidth="1" min="5" max="5"/>
    <col width="22" customWidth="1" min="6" max="6"/>
    <col width="18" customWidth="1" min="7" max="7"/>
    <col width="20" customWidth="1" min="8" max="8"/>
    <col width="48" customWidth="1" min="9" max="9"/>
    <col width="10" customWidth="1" min="10" max="10"/>
    <col width="44" customWidth="1" min="11" max="11"/>
    <col width="48" customWidth="1" min="12" max="12"/>
    <col width="20" customWidth="1" min="13" max="13"/>
    <col width="36" customWidth="1" min="14" max="14"/>
  </cols>
  <sheetData>
    <row r="1" ht="30" customHeight="1">
      <c r="A1" s="1" t="inlineStr">
        <is>
          <t>#</t>
        </is>
      </c>
      <c r="B1" s="1" t="inlineStr">
        <is>
          <t>Section</t>
        </is>
      </c>
      <c r="C1" s="1" t="inlineStr">
        <is>
          <t>Capability</t>
        </is>
      </c>
      <c r="D1" s="1" t="inlineStr">
        <is>
          <t>Agent</t>
        </is>
      </c>
      <c r="E1" s="1" t="inlineStr">
        <is>
          <t>Supervisor</t>
        </is>
      </c>
      <c r="F1" s="1" t="inlineStr">
        <is>
          <t>QA Manager</t>
        </is>
      </c>
      <c r="G1" s="1" t="inlineStr">
        <is>
          <t>Operation Manager</t>
        </is>
      </c>
      <c r="H1" s="1" t="inlineStr">
        <is>
          <t>Super Admin</t>
        </is>
      </c>
      <c r="I1" s="1" t="inlineStr">
        <is>
          <t>Scope today</t>
        </is>
      </c>
      <c r="J1" s="1" t="inlineStr">
        <is>
          <t>Overlap</t>
        </is>
      </c>
      <c r="K1" s="1" t="inlineStr">
        <is>
          <t>Open question</t>
        </is>
      </c>
      <c r="L1" s="1" t="inlineStr">
        <is>
          <t>Proposal</t>
        </is>
      </c>
      <c r="M1" s="1" t="inlineStr">
        <is>
          <t>Decision</t>
        </is>
      </c>
      <c r="N1" s="1" t="inlineStr">
        <is>
          <t>Note</t>
        </is>
      </c>
    </row>
    <row r="2">
      <c r="A2" s="2" t="inlineStr">
        <is>
          <t>T1</t>
        </is>
      </c>
      <c r="B2" s="2" t="inlineStr">
        <is>
          <t>Triggers (alert rules)</t>
        </is>
      </c>
      <c r="C2" s="3" t="inlineStr">
        <is>
          <t>Create an alert rule</t>
        </is>
      </c>
      <c r="D2" s="2" t="inlineStr">
        <is>
          <t>R</t>
        </is>
      </c>
      <c r="E2" s="2" t="inlineStr">
        <is>
          <t>O</t>
        </is>
      </c>
      <c r="F2" s="2" t="inlineStr">
        <is>
          <t>O</t>
        </is>
      </c>
      <c r="G2" s="2" t="inlineStr">
        <is>
          <t>—</t>
        </is>
      </c>
      <c r="H2" s="2" t="inlineStr">
        <is>
          <t>—</t>
        </is>
      </c>
      <c r="I2" s="2" t="inlineStr">
        <is>
          <t>rule.scope = agents · supervisors · campaigns · LOB · campaign types; empty = everyone. S defaults supervisorIds=['SUP-001'] but it is not enforced and S's agent picker lists every agent. QAM gets a Supervisors picker.</t>
        </is>
      </c>
      <c r="J2" s="2" t="inlineStr">
        <is>
          <t>High</t>
        </is>
      </c>
      <c r="K2" s="2" t="inlineStr">
        <is>
          <t>Can a Supervisor create rules at all, or only the QA Manager (with the Supervisor as recipient)?</t>
        </is>
      </c>
      <c r="L2" s="2" t="inlineStr">
        <is>
          <t>QAM owns platform and cross-team rules. S can create rules scoped to their own team only, enforced in the form (team locked, agent list limited).</t>
        </is>
      </c>
      <c r="M2" s="4" t="inlineStr"/>
      <c r="N2" s="4" t="inlineStr"/>
    </row>
    <row r="3">
      <c r="A3" s="2" t="inlineStr">
        <is>
          <t>T2</t>
        </is>
      </c>
      <c r="B3" s="2" t="inlineStr">
        <is>
          <t>Triggers (alert rules)</t>
        </is>
      </c>
      <c r="C3" s="3" t="inlineStr">
        <is>
          <t>Edit, pause or delete a rule created by the other role</t>
        </is>
      </c>
      <c r="D3" s="2" t="inlineStr">
        <is>
          <t>—</t>
        </is>
      </c>
      <c r="E3" s="2" t="inlineStr">
        <is>
          <t>E</t>
        </is>
      </c>
      <c r="F3" s="2" t="inlineStr">
        <is>
          <t>E</t>
        </is>
      </c>
      <c r="G3" s="2" t="inlineStr">
        <is>
          <t>—</t>
        </is>
      </c>
      <c r="H3" s="2" t="inlineStr">
        <is>
          <t>—</t>
        </is>
      </c>
      <c r="I3" s="2" t="inlineStr">
        <is>
          <t>Both write to the same rules[]. Saving re-stamps createdBy/createdByRole with the editor.</t>
        </is>
      </c>
      <c r="J3" s="2" t="inlineStr">
        <is>
          <t>High</t>
        </is>
      </c>
      <c r="K3" s="2" t="inlineStr">
        <is>
          <t>Should a Supervisor be able to change a QA Manager's rule that hits their team?</t>
        </is>
      </c>
      <c r="L3" s="2" t="inlineStr">
        <is>
          <t>Creator role owns edits. S sees QAM rules that affect their team read-only; S may only request a change (comment / inbox).</t>
        </is>
      </c>
      <c r="M3" s="4" t="inlineStr"/>
      <c r="N3" s="4" t="inlineStr"/>
    </row>
    <row r="4">
      <c r="A4" s="2" t="inlineStr">
        <is>
          <t>T3</t>
        </is>
      </c>
      <c r="B4" s="2" t="inlineStr">
        <is>
          <t>Triggers (alert rules)</t>
        </is>
      </c>
      <c r="C4" s="3" t="inlineStr">
        <is>
          <t>See the rules list</t>
        </is>
      </c>
      <c r="D4" s="2" t="inlineStr">
        <is>
          <t>—</t>
        </is>
      </c>
      <c r="E4" s="2" t="inlineStr">
        <is>
          <t>V</t>
        </is>
      </c>
      <c r="F4" s="2" t="inlineStr">
        <is>
          <t>V</t>
        </is>
      </c>
      <c r="G4" s="2" t="inlineStr">
        <is>
          <t>—</t>
        </is>
      </c>
      <c r="H4" s="2" t="inlineStr">
        <is>
          <t>—</t>
        </is>
      </c>
      <c r="I4" s="2" t="inlineStr">
        <is>
          <t>Not filtered by role: S sees every QAM rule, QAM sees every S rule.</t>
        </is>
      </c>
      <c r="J4" s="2" t="inlineStr">
        <is>
          <t>Medium</t>
        </is>
      </c>
      <c r="K4" s="2" t="inlineStr">
        <is>
          <t>Should each Supervisor see other Supervisors' team rules?</t>
        </is>
      </c>
      <c r="L4" s="2" t="inlineStr">
        <is>
          <t>S list = own rules + QAM rules affecting their team. QAM list = everything, with a "created by" filter.</t>
        </is>
      </c>
      <c r="M4" s="4" t="inlineStr"/>
      <c r="N4" s="4" t="inlineStr"/>
    </row>
    <row r="5">
      <c r="A5" s="2" t="inlineStr">
        <is>
          <t>T4</t>
        </is>
      </c>
      <c r="B5" s="2" t="inlineStr">
        <is>
          <t>Triggers (alert rules)</t>
        </is>
      </c>
      <c r="C5" s="3" t="inlineStr">
        <is>
          <t>Choose recipients (Agent / Supervisor / QAM) and channels (Inbox / Email / Dashboard)</t>
        </is>
      </c>
      <c r="D5" s="2" t="inlineStr">
        <is>
          <t>—</t>
        </is>
      </c>
      <c r="E5" s="2" t="inlineStr">
        <is>
          <t>O</t>
        </is>
      </c>
      <c r="F5" s="2" t="inlineStr">
        <is>
          <t>O</t>
        </is>
      </c>
      <c r="G5" s="2" t="inlineStr">
        <is>
          <t>—</t>
        </is>
      </c>
      <c r="H5" s="2" t="inlineStr">
        <is>
          <t>—</t>
        </is>
      </c>
      <c r="I5" s="2" t="inlineStr">
        <is>
          <t>delivery.recipients, defaults Agent+Supervisor (Supervisor+QAM for burnout).</t>
        </is>
      </c>
      <c r="J5" s="2" t="inlineStr">
        <is>
          <t>Low</t>
        </is>
      </c>
      <c r="K5" s="2" t="inlineStr">
        <is>
          <t>Can a Supervisor address the QA Manager as recipient?</t>
        </is>
      </c>
      <c r="L5" s="2" t="inlineStr">
        <is>
          <t>Keep. A S rule may notify QAM as escalation only.</t>
        </is>
      </c>
      <c r="M5" s="4" t="inlineStr"/>
      <c r="N5" s="4" t="inlineStr"/>
    </row>
    <row r="6">
      <c r="A6" s="2" t="inlineStr">
        <is>
          <t>T5</t>
        </is>
      </c>
      <c r="B6" s="2" t="inlineStr">
        <is>
          <t>Triggers (alert rules)</t>
        </is>
      </c>
      <c r="C6" s="3" t="inlineStr">
        <is>
          <t>Receive an alert</t>
        </is>
      </c>
      <c r="D6" s="2" t="inlineStr">
        <is>
          <t>R</t>
        </is>
      </c>
      <c r="E6" s="2" t="inlineStr">
        <is>
          <t>R</t>
        </is>
      </c>
      <c r="F6" s="2" t="inlineStr">
        <is>
          <t>R</t>
        </is>
      </c>
      <c r="G6" s="2" t="inlineStr">
        <is>
          <t>—</t>
        </is>
      </c>
      <c r="H6" s="2" t="inlineStr">
        <is>
          <t>—</t>
        </is>
      </c>
      <c r="I6" s="2" t="inlineStr">
        <is>
          <t>Per delivery.recipients.</t>
        </is>
      </c>
      <c r="J6" s="2" t="inlineStr">
        <is>
          <t>None</t>
        </is>
      </c>
      <c r="K6" s="2" t="inlineStr">
        <is>
          <t>Should OM receive burnout or compliance escalations?</t>
        </is>
      </c>
      <c r="L6" s="2" t="inlineStr">
        <is>
          <t>OM receives only escalations explicitly addressed to OM (new recipient).</t>
        </is>
      </c>
      <c r="M6" s="4" t="inlineStr"/>
      <c r="N6" s="4" t="inlineStr"/>
    </row>
    <row r="7">
      <c r="A7" s="2" t="inlineStr">
        <is>
          <t>T6</t>
        </is>
      </c>
      <c r="B7" s="2" t="inlineStr">
        <is>
          <t>Triggers (alert rules)</t>
        </is>
      </c>
      <c r="C7" s="3" t="inlineStr">
        <is>
          <t>Same agent matched by a S rule and a QAM rule on the same metric</t>
        </is>
      </c>
      <c r="D7" s="2" t="inlineStr">
        <is>
          <t>R</t>
        </is>
      </c>
      <c r="E7" s="2" t="inlineStr">
        <is>
          <t>—</t>
        </is>
      </c>
      <c r="F7" s="2" t="inlineStr">
        <is>
          <t>—</t>
        </is>
      </c>
      <c r="G7" s="2" t="inlineStr">
        <is>
          <t>—</t>
        </is>
      </c>
      <c r="H7" s="2" t="inlineStr">
        <is>
          <t>—</t>
        </is>
      </c>
      <c r="I7" s="2" t="inlineStr">
        <is>
          <t>Nothing de-duplicates; two alerts fire.</t>
        </is>
      </c>
      <c r="J7" s="2" t="inlineStr">
        <is>
          <t>High</t>
        </is>
      </c>
      <c r="K7" s="2" t="inlineStr">
        <is>
          <t>Precedence or de-duplication?</t>
        </is>
      </c>
      <c r="L7" s="2" t="inlineStr">
        <is>
          <t>QAM rule wins for the same metric + condition; the Supervisor rule is shown as "shadowed" in the list.</t>
        </is>
      </c>
      <c r="M7" s="4" t="inlineStr"/>
      <c r="N7" s="4" t="inlineStr"/>
    </row>
    <row r="8">
      <c r="A8" s="2" t="inlineStr">
        <is>
          <t>B1</t>
        </is>
      </c>
      <c r="B8" s="2" t="inlineStr">
        <is>
          <t>Recognition (badges)</t>
        </is>
      </c>
      <c r="C8" s="3" t="inlineStr">
        <is>
          <t>Create, edit, archive badge definitions</t>
        </is>
      </c>
      <c r="D8" s="2" t="inlineStr">
        <is>
          <t>R</t>
        </is>
      </c>
      <c r="E8" s="2" t="inlineStr">
        <is>
          <t>O</t>
        </is>
      </c>
      <c r="F8" s="2" t="inlineStr">
        <is>
          <t>O</t>
        </is>
      </c>
      <c r="G8" s="2" t="inlineStr">
        <is>
          <t>—</t>
        </is>
      </c>
      <c r="H8" s="2" t="inlineStr">
        <is>
          <t>—</t>
        </is>
      </c>
      <c r="I8" s="2" t="inlineStr">
        <is>
          <t>BadgeDefinition has no owner or scope. Auto-award badges create a linked rule always stamped QA_MANAGER.</t>
        </is>
      </c>
      <c r="J8" s="2" t="inlineStr">
        <is>
          <t>High</t>
        </is>
      </c>
      <c r="K8" s="2" t="inlineStr">
        <is>
          <t>Is the badge catalog a platform asset (QAM) or can teams have their own badges?</t>
        </is>
      </c>
      <c r="L8" s="2" t="inlineStr">
        <is>
          <t>QAM owns the catalog. S can propose a badge (draft) that QAM publishes.</t>
        </is>
      </c>
      <c r="M8" s="4" t="inlineStr"/>
      <c r="N8" s="4" t="inlineStr"/>
    </row>
    <row r="9">
      <c r="A9" s="2" t="inlineStr">
        <is>
          <t>B2</t>
        </is>
      </c>
      <c r="B9" s="2" t="inlineStr">
        <is>
          <t>Recognition (badges)</t>
        </is>
      </c>
      <c r="C9" s="3" t="inlineStr">
        <is>
          <t>Award a badge</t>
        </is>
      </c>
      <c r="D9" s="2" t="inlineStr">
        <is>
          <t>R</t>
        </is>
      </c>
      <c r="E9" s="2" t="inlineStr">
        <is>
          <t>—</t>
        </is>
      </c>
      <c r="F9" s="2" t="inlineStr">
        <is>
          <t>—</t>
        </is>
      </c>
      <c r="G9" s="2" t="inlineStr">
        <is>
          <t>—</t>
        </is>
      </c>
      <c r="H9" s="2" t="inlineStr">
        <is>
          <t>—</t>
        </is>
      </c>
      <c r="I9" s="2" t="inlineStr">
        <is>
          <t>System only: end of ranking program or milestone sync. No manual award UI.</t>
        </is>
      </c>
      <c r="J9" s="2" t="inlineStr">
        <is>
          <t>None</t>
        </is>
      </c>
      <c r="K9" s="2" t="inlineStr">
        <is>
          <t>Should a Supervisor be able to award a badge manually?</t>
        </is>
      </c>
      <c r="L9" s="2" t="inlineStr">
        <is>
          <t>Add a manual award for S within their team, logged with the awarding role.</t>
        </is>
      </c>
      <c r="M9" s="4" t="inlineStr"/>
      <c r="N9" s="4" t="inlineStr"/>
    </row>
    <row r="10">
      <c r="A10" s="2" t="inlineStr">
        <is>
          <t>R1</t>
        </is>
      </c>
      <c r="B10" s="2" t="inlineStr">
        <is>
          <t>Rankings (recognition programs)</t>
        </is>
      </c>
      <c r="C10" s="3" t="inlineStr">
        <is>
          <t>Create a ranking program</t>
        </is>
      </c>
      <c r="D10" s="2" t="inlineStr">
        <is>
          <t>V</t>
        </is>
      </c>
      <c r="E10" s="2" t="inlineStr">
        <is>
          <t>O (own team, teams locked to Team 1; no Business metrics)</t>
        </is>
      </c>
      <c r="F10" s="2" t="inlineStr">
        <is>
          <t>O (any teams, all metrics)</t>
        </is>
      </c>
      <c r="G10" s="2" t="inlineStr">
        <is>
          <t>O (as QAM, via QAM URL)</t>
        </is>
      </c>
      <c r="H10" s="2" t="inlineStr">
        <is>
          <t>—</t>
        </is>
      </c>
      <c r="I10" s="2" t="inlineStr">
        <is>
          <t>RankingProgram.teams[] by team name; createdByRole.</t>
        </is>
      </c>
      <c r="J10" s="2" t="inlineStr">
        <is>
          <t>Medium</t>
        </is>
      </c>
      <c r="K10" s="2" t="inlineStr">
        <is>
          <t>Is OM really a program owner, or only a viewer of supervisor rankings?</t>
        </is>
      </c>
      <c r="L10" s="2" t="inlineStr">
        <is>
          <t>QAM owns cross-team programs; S owns single-team programs; OM views only.</t>
        </is>
      </c>
      <c r="M10" s="4" t="inlineStr"/>
      <c r="N10" s="4" t="inlineStr"/>
    </row>
    <row r="11">
      <c r="A11" s="2" t="inlineStr">
        <is>
          <t>R2</t>
        </is>
      </c>
      <c r="B11" s="2" t="inlineStr">
        <is>
          <t>Rankings (recognition programs)</t>
        </is>
      </c>
      <c r="C11" s="3" t="inlineStr">
        <is>
          <t>Edit, deactivate or delete a program created by the other role</t>
        </is>
      </c>
      <c r="D11" s="2" t="inlineStr">
        <is>
          <t>—</t>
        </is>
      </c>
      <c r="E11" s="2" t="inlineStr">
        <is>
          <t>E (any program that includes Team 1)</t>
        </is>
      </c>
      <c r="F11" s="2" t="inlineStr">
        <is>
          <t>E</t>
        </is>
      </c>
      <c r="G11" s="2" t="inlineStr">
        <is>
          <t>E</t>
        </is>
      </c>
      <c r="H11" s="2" t="inlineStr">
        <is>
          <t>—</t>
        </is>
      </c>
      <c r="I11" s="2" t="inlineStr">
        <is>
          <t>programsForRole filters by team only; no edit lock.</t>
        </is>
      </c>
      <c r="J11" s="2" t="inlineStr">
        <is>
          <t>High</t>
        </is>
      </c>
      <c r="K11" s="2" t="inlineStr">
        <is>
          <t>Can a Supervisor delete a QAM program that includes their team?</t>
        </is>
      </c>
      <c r="L11" s="2" t="inlineStr">
        <is>
          <t>Creator only. S read-only on QAM programs that include their team.</t>
        </is>
      </c>
      <c r="M11" s="4" t="inlineStr"/>
      <c r="N11" s="4" t="inlineStr"/>
    </row>
    <row r="12">
      <c r="A12" s="2" t="inlineStr">
        <is>
          <t>R3</t>
        </is>
      </c>
      <c r="B12" s="2" t="inlineStr">
        <is>
          <t>Rankings (recognition programs)</t>
        </is>
      </c>
      <c r="C12" s="3" t="inlineStr">
        <is>
          <t>Activate a program (one active per team)</t>
        </is>
      </c>
      <c r="D12" s="2" t="inlineStr">
        <is>
          <t>—</t>
        </is>
      </c>
      <c r="E12" s="2" t="inlineStr">
        <is>
          <t>A</t>
        </is>
      </c>
      <c r="F12" s="2" t="inlineStr">
        <is>
          <t>A</t>
        </is>
      </c>
      <c r="G12" s="2" t="inlineStr">
        <is>
          <t>A</t>
        </is>
      </c>
      <c r="H12" s="2" t="inlineStr">
        <is>
          <t>—</t>
        </is>
      </c>
      <c r="I12" s="2" t="inlineStr">
        <is>
          <t>withSingleActive: activating a QAM multi-team program silently deactivates S's active Team 1 program.</t>
        </is>
      </c>
      <c r="J12" s="2" t="inlineStr">
        <is>
          <t>High</t>
        </is>
      </c>
      <c r="K12" s="2" t="inlineStr">
        <is>
          <t>Who wins when both roles want an active program for the same team?</t>
        </is>
      </c>
      <c r="L12" s="2" t="inlineStr">
        <is>
          <t>QAM program takes precedence; S is notified and their program is paused, not deleted.</t>
        </is>
      </c>
      <c r="M12" s="4" t="inlineStr"/>
      <c r="N12" s="4" t="inlineStr"/>
    </row>
    <row r="13">
      <c r="A13" s="2" t="inlineStr">
        <is>
          <t>R4</t>
        </is>
      </c>
      <c r="B13" s="2" t="inlineStr">
        <is>
          <t>Rankings (recognition programs)</t>
        </is>
      </c>
      <c r="C13" s="3" t="inlineStr">
        <is>
          <t>View standings and react to peers</t>
        </is>
      </c>
      <c r="D13" s="2" t="inlineStr">
        <is>
          <t>A</t>
        </is>
      </c>
      <c r="E13" s="2" t="inlineStr">
        <is>
          <t>V</t>
        </is>
      </c>
      <c r="F13" s="2" t="inlineStr">
        <is>
          <t>V</t>
        </is>
      </c>
      <c r="G13" s="2" t="inlineStr">
        <is>
          <t>V</t>
        </is>
      </c>
      <c r="H13" s="2" t="inlineStr">
        <is>
          <t>—</t>
        </is>
      </c>
      <c r="I13" s="2" t="inlineStr">
        <is>
          <t>Agent page is read-only plus reactions.</t>
        </is>
      </c>
      <c r="J13" s="2" t="inlineStr">
        <is>
          <t>None</t>
        </is>
      </c>
      <c r="K13" s="2" t="inlineStr">
        <is>
          <t>—</t>
        </is>
      </c>
      <c r="L13" s="2" t="inlineStr">
        <is>
          <t>Keep.</t>
        </is>
      </c>
      <c r="M13" s="4" t="inlineStr"/>
      <c r="N13" s="4" t="inlineStr"/>
    </row>
    <row r="14">
      <c r="A14" s="2" t="inlineStr">
        <is>
          <t>C1</t>
        </is>
      </c>
      <c r="B14" s="2" t="inlineStr">
        <is>
          <t>Coaching</t>
        </is>
      </c>
      <c r="C14" s="3" t="inlineStr">
        <is>
          <t>Schedule a 1:1 or group session</t>
        </is>
      </c>
      <c r="D14" s="2" t="inlineStr">
        <is>
          <t>R / A (acknowledge)</t>
        </is>
      </c>
      <c r="E14" s="2" t="inlineStr">
        <is>
          <t>O (own team)</t>
        </is>
      </c>
      <c r="F14" s="2" t="inlineStr">
        <is>
          <t>O (anyone)</t>
        </is>
      </c>
      <c r="G14" s="2" t="inlineStr">
        <is>
          <t>—</t>
        </is>
      </c>
      <c r="H14" s="2" t="inlineStr">
        <is>
          <t>—</t>
        </is>
      </c>
      <c r="I14" s="2" t="inlineStr">
        <is>
          <t>coachRole from the route persona.</t>
        </is>
      </c>
      <c r="J14" s="2" t="inlineStr">
        <is>
          <t>High</t>
        </is>
      </c>
      <c r="K14" s="2" t="inlineStr">
        <is>
          <t>Who is the coach of record? Can an agent have sessions from both?</t>
        </is>
      </c>
      <c r="L14" s="2" t="inlineStr">
        <is>
          <t>S is the default coach. QAM schedules only escalations or cross-team sessions, and sees S's calendar to avoid collisions.</t>
        </is>
      </c>
      <c r="M14" s="4" t="inlineStr"/>
      <c r="N14" s="4" t="inlineStr"/>
    </row>
    <row r="15">
      <c r="A15" s="2" t="inlineStr">
        <is>
          <t>C2</t>
        </is>
      </c>
      <c r="B15" s="2" t="inlineStr">
        <is>
          <t>Coaching</t>
        </is>
      </c>
      <c r="C15" s="3" t="inlineStr">
        <is>
          <t>Create a coaching rule (auto-schedule / auto-assign)</t>
        </is>
      </c>
      <c r="D15" s="2" t="inlineStr">
        <is>
          <t>R</t>
        </is>
      </c>
      <c r="E15" s="2" t="inlineStr">
        <is>
          <t>O (forced to own team)</t>
        </is>
      </c>
      <c r="F15" s="2" t="inlineStr">
        <is>
          <t>O (no supervisor picker, so everyone)</t>
        </is>
      </c>
      <c r="G15" s="2" t="inlineStr">
        <is>
          <t>—</t>
        </is>
      </c>
      <c r="H15" s="2" t="inlineStr">
        <is>
          <t>—</t>
        </is>
      </c>
      <c r="I15" s="2" t="inlineStr">
        <is>
          <t>CoachingRule.scope (same shape as triggers).</t>
        </is>
      </c>
      <c r="J15" s="2" t="inlineStr">
        <is>
          <t>High</t>
        </is>
      </c>
      <c r="K15" s="2" t="inlineStr">
        <is>
          <t>Do QAM global rules apply on top of S team rules, or replace them?</t>
        </is>
      </c>
      <c r="L15" s="2" t="inlineStr">
        <is>
          <t>QAM rules = platform defaults; S rules = team overrides; the same condition is matched once (team rule wins).</t>
        </is>
      </c>
      <c r="M15" s="4" t="inlineStr"/>
      <c r="N15" s="4" t="inlineStr"/>
    </row>
    <row r="16">
      <c r="A16" s="2" t="inlineStr">
        <is>
          <t>C3</t>
        </is>
      </c>
      <c r="B16" s="2" t="inlineStr">
        <is>
          <t>Coaching</t>
        </is>
      </c>
      <c r="C16" s="3" t="inlineStr">
        <is>
          <t>Edit a coaching rule created by the other role</t>
        </is>
      </c>
      <c r="D16" s="2" t="inlineStr">
        <is>
          <t>—</t>
        </is>
      </c>
      <c r="E16" s="2" t="inlineStr">
        <is>
          <t>E (saving narrows scope to own team)</t>
        </is>
      </c>
      <c r="F16" s="2" t="inlineStr">
        <is>
          <t>E</t>
        </is>
      </c>
      <c r="G16" s="2" t="inlineStr">
        <is>
          <t>—</t>
        </is>
      </c>
      <c r="H16" s="2" t="inlineStr">
        <is>
          <t>—</t>
        </is>
      </c>
      <c r="I16" s="2" t="inlineStr">
        <is>
          <t>S sees QAM global rules in their list.</t>
        </is>
      </c>
      <c r="J16" s="2" t="inlineStr">
        <is>
          <t>High</t>
        </is>
      </c>
      <c r="K16" s="2" t="inlineStr">
        <is>
          <t>Should a Supervisor be able to edit a global rule at all?</t>
        </is>
      </c>
      <c r="L16" s="2" t="inlineStr">
        <is>
          <t>Creator only; S read-only on QAM rules.</t>
        </is>
      </c>
      <c r="M16" s="4" t="inlineStr"/>
      <c r="N16" s="4" t="inlineStr"/>
    </row>
    <row r="17">
      <c r="A17" s="2" t="inlineStr">
        <is>
          <t>C4</t>
        </is>
      </c>
      <c r="B17" s="2" t="inlineStr">
        <is>
          <t>Coaching</t>
        </is>
      </c>
      <c r="C17" s="3" t="inlineStr">
        <is>
          <t>Weekly batch of proposed sessions</t>
        </is>
      </c>
      <c r="D17" s="2" t="inlineStr">
        <is>
          <t>R</t>
        </is>
      </c>
      <c r="E17" s="2" t="inlineStr">
        <is>
          <t>A (approve, coach by default)</t>
        </is>
      </c>
      <c r="F17" s="2" t="inlineStr">
        <is>
          <t>A (AI messages sent as QAM)</t>
        </is>
      </c>
      <c r="G17" s="2" t="inlineStr">
        <is>
          <t>—</t>
        </is>
      </c>
      <c r="H17" s="2" t="inlineStr">
        <is>
          <t>—</t>
        </is>
      </c>
      <c r="I17" s="2" t="inlineStr">
        <is>
          <t>Batch sessions are PROPOSED with coachRole: SUPERVISOR.</t>
        </is>
      </c>
      <c r="J17" s="2" t="inlineStr">
        <is>
          <t>Medium</t>
        </is>
      </c>
      <c r="K17" s="2" t="inlineStr">
        <is>
          <t>Who approves the weekly batch, S or QAM?</t>
        </is>
      </c>
      <c r="L17" s="2" t="inlineStr">
        <is>
          <t>S approves their team's batch; QAM sees status across teams.</t>
        </is>
      </c>
      <c r="M17" s="4" t="inlineStr"/>
      <c r="N17" s="4" t="inlineStr"/>
    </row>
    <row r="18">
      <c r="A18" s="2" t="inlineStr">
        <is>
          <t>C5</t>
        </is>
      </c>
      <c r="B18" s="2" t="inlineStr">
        <is>
          <t>Coaching</t>
        </is>
      </c>
      <c r="C18" s="3" t="inlineStr">
        <is>
          <t>Create a learning group (cohort)</t>
        </is>
      </c>
      <c r="D18" s="2" t="inlineStr">
        <is>
          <t>R</t>
        </is>
      </c>
      <c r="E18" s="2" t="inlineStr">
        <is>
          <t>O (own team)</t>
        </is>
      </c>
      <c r="F18" s="2" t="inlineStr">
        <is>
          <t>O</t>
        </is>
      </c>
      <c r="G18" s="2" t="inlineStr">
        <is>
          <t>—</t>
        </is>
      </c>
      <c r="H18" s="2" t="inlineStr">
        <is>
          <t>—</t>
        </is>
      </c>
      <c r="I18" s="2" t="inlineStr">
        <is>
          <t>Cohorts filtered by managerScopeAgents.</t>
        </is>
      </c>
      <c r="J18" s="2" t="inlineStr">
        <is>
          <t>Low</t>
        </is>
      </c>
      <c r="K18" s="2" t="inlineStr">
        <is>
          <t>Cross-team cohorts: QAM only?</t>
        </is>
      </c>
      <c r="L18" s="2" t="inlineStr">
        <is>
          <t>S: team cohorts. QAM: cross-team cohorts.</t>
        </is>
      </c>
      <c r="M18" s="4" t="inlineStr"/>
      <c r="N18" s="4" t="inlineStr"/>
    </row>
    <row r="19">
      <c r="A19" s="2" t="inlineStr">
        <is>
          <t>C6</t>
        </is>
      </c>
      <c r="B19" s="2" t="inlineStr">
        <is>
          <t>Coaching</t>
        </is>
      </c>
      <c r="C19" s="3" t="inlineStr">
        <is>
          <t>Configure coaching tiers (tier cuts)</t>
        </is>
      </c>
      <c r="D19" s="2" t="inlineStr">
        <is>
          <t>—</t>
        </is>
      </c>
      <c r="E19" s="2" t="inlineStr">
        <is>
          <t>—</t>
        </is>
      </c>
      <c r="F19" s="2" t="inlineStr">
        <is>
          <t>O (QAM Settings)</t>
        </is>
      </c>
      <c r="G19" s="2" t="inlineStr">
        <is>
          <t>—</t>
        </is>
      </c>
      <c r="H19" s="2" t="inlineStr">
        <is>
          <t>—</t>
        </is>
      </c>
      <c r="I19" s="2" t="inlineStr">
        <is>
          <t>Global settingsStore.coaching.tierCuts.</t>
        </is>
      </c>
      <c r="J19" s="2" t="inlineStr">
        <is>
          <t>Low</t>
        </is>
      </c>
      <c r="K19" s="2" t="inlineStr">
        <is>
          <t>Platform or per-client?</t>
        </is>
      </c>
      <c r="L19" s="2" t="inlineStr">
        <is>
          <t>QAM (see S1).</t>
        </is>
      </c>
      <c r="M19" s="4" t="inlineStr"/>
      <c r="N19" s="4" t="inlineStr"/>
    </row>
    <row r="20">
      <c r="A20" s="2" t="inlineStr">
        <is>
          <t>L1</t>
        </is>
      </c>
      <c r="B20" s="2" t="inlineStr">
        <is>
          <t>Learning (LMS)</t>
        </is>
      </c>
      <c r="C20" s="3" t="inlineStr">
        <is>
          <t>Assign material to agents</t>
        </is>
      </c>
      <c r="D20" s="2" t="inlineStr">
        <is>
          <t>R / A (self-enrol)</t>
        </is>
      </c>
      <c r="E20" s="2" t="inlineStr">
        <is>
          <t>O (own team)</t>
        </is>
      </c>
      <c r="F20" s="2" t="inlineStr">
        <is>
          <t>O (anyone)</t>
        </is>
      </c>
      <c r="G20" s="2" t="inlineStr">
        <is>
          <t>—</t>
        </is>
      </c>
      <c r="H20" s="2" t="inlineStr">
        <is>
          <t>—</t>
        </is>
      </c>
      <c r="I20" s="2" t="inlineStr">
        <is>
          <t>assignedByRole S / QAM / SYSTEM / AGENT; coaching rules also assign.</t>
        </is>
      </c>
      <c r="J20" s="2" t="inlineStr">
        <is>
          <t>Medium</t>
        </is>
      </c>
      <c r="K20" s="2" t="inlineStr">
        <is>
          <t>Duplicate assignments of the same content to one agent?</t>
        </is>
      </c>
      <c r="L20" s="2" t="inlineStr">
        <is>
          <t>Both may assign; the system merges duplicates and shows who assigned first. QAM uses assignments for mandatory platform campaigns.</t>
        </is>
      </c>
      <c r="M20" s="4" t="inlineStr"/>
      <c r="N20" s="4" t="inlineStr"/>
    </row>
    <row r="21">
      <c r="A21" s="2" t="inlineStr">
        <is>
          <t>L2</t>
        </is>
      </c>
      <c r="B21" s="2" t="inlineStr">
        <is>
          <t>Learning (LMS)</t>
        </is>
      </c>
      <c r="C21" s="3" t="inlineStr">
        <is>
          <t>Decide reschedule requests</t>
        </is>
      </c>
      <c r="D21" s="2" t="inlineStr">
        <is>
          <t>A (request)</t>
        </is>
      </c>
      <c r="E21" s="2" t="inlineStr">
        <is>
          <t>A</t>
        </is>
      </c>
      <c r="F21" s="2" t="inlineStr">
        <is>
          <t>A</t>
        </is>
      </c>
      <c r="G21" s="2" t="inlineStr">
        <is>
          <t>—</t>
        </is>
      </c>
      <c r="H21" s="2" t="inlineStr">
        <is>
          <t>—</t>
        </is>
      </c>
      <c r="I21" s="2" t="inlineStr">
        <is>
          <t>Either manager can decide any request.</t>
        </is>
      </c>
      <c r="J21" s="2" t="inlineStr">
        <is>
          <t>Medium</t>
        </is>
      </c>
      <c r="K21" s="2" t="inlineStr">
        <is>
          <t>Who decides, the assigner or the agent's supervisor?</t>
        </is>
      </c>
      <c r="L21" s="2" t="inlineStr">
        <is>
          <t>The assigner decides; the supervisor is informed.</t>
        </is>
      </c>
      <c r="M21" s="4" t="inlineStr"/>
      <c r="N21" s="4" t="inlineStr"/>
    </row>
    <row r="22">
      <c r="A22" s="2" t="inlineStr">
        <is>
          <t>L3</t>
        </is>
      </c>
      <c r="B22" s="2" t="inlineStr">
        <is>
          <t>Learning (LMS)</t>
        </is>
      </c>
      <c r="C22" s="3" t="inlineStr">
        <is>
          <t>Publish, archive or restore content</t>
        </is>
      </c>
      <c r="D22" s="2" t="inlineStr">
        <is>
          <t>—</t>
        </is>
      </c>
      <c r="E22" s="2" t="inlineStr">
        <is>
          <t>V (published only)</t>
        </is>
      </c>
      <c r="F22" s="2" t="inlineStr">
        <is>
          <t>O</t>
        </is>
      </c>
      <c r="G22" s="2" t="inlineStr">
        <is>
          <t>—</t>
        </is>
      </c>
      <c r="H22" s="2" t="inlineStr">
        <is>
          <t>—</t>
        </is>
      </c>
      <c r="I22" s="2" t="inlineStr">
        <is>
          <t>LibraryTab: status actions QAM only.</t>
        </is>
      </c>
      <c r="J22" s="2" t="inlineStr">
        <is>
          <t>None</t>
        </is>
      </c>
      <c r="K22" s="2" t="inlineStr">
        <is>
          <t>Should content administration sit with SA instead?</t>
        </is>
      </c>
      <c r="L22" s="2" t="inlineStr">
        <is>
          <t>QAM.</t>
        </is>
      </c>
      <c r="M22" s="4" t="inlineStr"/>
      <c r="N22" s="4" t="inlineStr"/>
    </row>
    <row r="23">
      <c r="A23" s="2" t="inlineStr">
        <is>
          <t>L4</t>
        </is>
      </c>
      <c r="B23" s="2" t="inlineStr">
        <is>
          <t>Learning (LMS)</t>
        </is>
      </c>
      <c r="C23" s="3" t="inlineStr">
        <is>
          <t>Author content or learning paths</t>
        </is>
      </c>
      <c r="D23" s="2" t="inlineStr">
        <is>
          <t>—</t>
        </is>
      </c>
      <c r="E23" s="2" t="inlineStr">
        <is>
          <t>—</t>
        </is>
      </c>
      <c r="F23" s="2" t="inlineStr">
        <is>
          <t>—</t>
        </is>
      </c>
      <c r="G23" s="2" t="inlineStr">
        <is>
          <t>—</t>
        </is>
      </c>
      <c r="H23" s="2" t="inlineStr">
        <is>
          <t>—</t>
        </is>
      </c>
      <c r="I23" s="2" t="inlineStr">
        <is>
          <t>No UI exists.</t>
        </is>
      </c>
      <c r="J23" s="2" t="inlineStr">
        <is>
          <t>None</t>
        </is>
      </c>
      <c r="K23" s="2" t="inlineStr">
        <is>
          <t>Who authors content: QAM, a content admin, or SA?</t>
        </is>
      </c>
      <c r="L23" s="2" t="inlineStr">
        <is>
          <t>QAM (needs a new screen).</t>
        </is>
      </c>
      <c r="M23" s="4" t="inlineStr"/>
      <c r="N23" s="4" t="inlineStr"/>
    </row>
    <row r="24">
      <c r="A24" s="2" t="inlineStr">
        <is>
          <t>D1</t>
        </is>
      </c>
      <c r="B24" s="2" t="inlineStr">
        <is>
          <t>Disputes</t>
        </is>
      </c>
      <c r="C24" s="3" t="inlineStr">
        <is>
          <t>Open a dispute on an evaluation</t>
        </is>
      </c>
      <c r="D24" s="2" t="inlineStr">
        <is>
          <t>A</t>
        </is>
      </c>
      <c r="E24" s="2" t="inlineStr">
        <is>
          <t>—</t>
        </is>
      </c>
      <c r="F24" s="2" t="inlineStr">
        <is>
          <t>—</t>
        </is>
      </c>
      <c r="G24" s="2" t="inlineStr">
        <is>
          <t>—</t>
        </is>
      </c>
      <c r="H24" s="2" t="inlineStr">
        <is>
          <t>—</t>
        </is>
      </c>
      <c r="I24" s="2" t="inlineStr">
        <is>
          <t>Opened from the conversation evaluation page. Notifies QAM + S.</t>
        </is>
      </c>
      <c r="J24" s="2" t="inlineStr">
        <is>
          <t>None</t>
        </is>
      </c>
      <c r="K24" s="2" t="inlineStr">
        <is>
          <t>Can a Supervisor open a dispute on behalf of an agent?</t>
        </is>
      </c>
      <c r="L24" s="2" t="inlineStr">
        <is>
          <t>Agent only.</t>
        </is>
      </c>
      <c r="M24" s="4" t="inlineStr"/>
      <c r="N24" s="4" t="inlineStr"/>
    </row>
    <row r="25">
      <c r="A25" s="2" t="inlineStr">
        <is>
          <t>D2</t>
        </is>
      </c>
      <c r="B25" s="2" t="inlineStr">
        <is>
          <t>Disputes</t>
        </is>
      </c>
      <c r="C25" s="3" t="inlineStr">
        <is>
          <t>Resolve a dispute</t>
        </is>
      </c>
      <c r="D25" s="2" t="inlineStr">
        <is>
          <t>R</t>
        </is>
      </c>
      <c r="E25" s="2" t="inlineStr">
        <is>
          <t>V (sees "waiting")</t>
        </is>
      </c>
      <c r="F25" s="2" t="inlineStr">
        <is>
          <t>A</t>
        </is>
      </c>
      <c r="G25" s="2" t="inlineStr">
        <is>
          <t>—</t>
        </is>
      </c>
      <c r="H25" s="2" t="inlineStr">
        <is>
          <t>—</t>
        </is>
      </c>
      <c r="I25" s="2" t="inlineStr">
        <is>
          <t>ReviewPanel only for QAM; resolvedBy = QAM persona. Resolving notifies Agent + S.</t>
        </is>
      </c>
      <c r="J25" s="2" t="inlineStr">
        <is>
          <t>None</t>
        </is>
      </c>
      <c r="K25" s="2" t="inlineStr">
        <is>
          <t>Could a Supervisor resolve low-impact disputes?</t>
        </is>
      </c>
      <c r="L25" s="2" t="inlineStr">
        <is>
          <t>QAM resolves; S can add context before resolution.</t>
        </is>
      </c>
      <c r="M25" s="4" t="inlineStr"/>
      <c r="N25" s="4" t="inlineStr"/>
    </row>
    <row r="26">
      <c r="A26" s="2" t="inlineStr">
        <is>
          <t>D3</t>
        </is>
      </c>
      <c r="B26" s="2" t="inlineStr">
        <is>
          <t>Disputes</t>
        </is>
      </c>
      <c r="C26" s="3" t="inlineStr">
        <is>
          <t>View disputes</t>
        </is>
      </c>
      <c r="D26" s="2" t="inlineStr">
        <is>
          <t>V (own)</t>
        </is>
      </c>
      <c r="E26" s="2" t="inlineStr">
        <is>
          <t>V (team)</t>
        </is>
      </c>
      <c r="F26" s="2" t="inlineStr">
        <is>
          <t>V (all)</t>
        </is>
      </c>
      <c r="G26" s="2" t="inlineStr">
        <is>
          <t>—</t>
        </is>
      </c>
      <c r="H26" s="2" t="inlineStr">
        <is>
          <t>—</t>
        </is>
      </c>
      <c r="I26" s="2" t="inlineStr">
        <is>
          <t>casesForRole. OM has no link.</t>
        </is>
      </c>
      <c r="J26" s="2" t="inlineStr">
        <is>
          <t>None</t>
        </is>
      </c>
      <c r="K26" s="2" t="inlineStr">
        <is>
          <t>Should OM see dispute volume?</t>
        </is>
      </c>
      <c r="L26" s="2" t="inlineStr">
        <is>
          <t>OM: aggregate only (dashboard widget), no case access.</t>
        </is>
      </c>
      <c r="M26" s="4" t="inlineStr"/>
      <c r="N26" s="4" t="inlineStr"/>
    </row>
    <row r="27">
      <c r="A27" s="2" t="inlineStr">
        <is>
          <t>M1</t>
        </is>
      </c>
      <c r="B27" s="2" t="inlineStr">
        <is>
          <t>Teams and roster</t>
        </is>
      </c>
      <c r="C27" s="3" t="inlineStr">
        <is>
          <t>Create, rename, dissolve teams</t>
        </is>
      </c>
      <c r="D27" s="2" t="inlineStr">
        <is>
          <t>—</t>
        </is>
      </c>
      <c r="E27" s="2" t="inlineStr">
        <is>
          <t>—</t>
        </is>
      </c>
      <c r="F27" s="2" t="inlineStr">
        <is>
          <t>—</t>
        </is>
      </c>
      <c r="G27" s="2" t="inlineStr">
        <is>
          <t>O</t>
        </is>
      </c>
      <c r="H27" s="2" t="inlineStr">
        <is>
          <t>—</t>
        </is>
      </c>
      <c r="I27" s="2" t="inlineStr">
        <is>
          <t>TeamConfigPage.</t>
        </is>
      </c>
      <c r="J27" s="2" t="inlineStr">
        <is>
          <t>None</t>
        </is>
      </c>
      <c r="K27" s="2" t="inlineStr">
        <is>
          <t>—</t>
        </is>
      </c>
      <c r="L27" s="2" t="inlineStr">
        <is>
          <t>OM.</t>
        </is>
      </c>
      <c r="M27" s="4" t="inlineStr"/>
      <c r="N27" s="4" t="inlineStr"/>
    </row>
    <row r="28">
      <c r="A28" s="2" t="inlineStr">
        <is>
          <t>M2</t>
        </is>
      </c>
      <c r="B28" s="2" t="inlineStr">
        <is>
          <t>Teams and roster</t>
        </is>
      </c>
      <c r="C28" s="3" t="inlineStr">
        <is>
          <t>Add or remove team members</t>
        </is>
      </c>
      <c r="D28" s="2" t="inlineStr">
        <is>
          <t>—</t>
        </is>
      </c>
      <c r="E28" s="2" t="inlineStr">
        <is>
          <t>—</t>
        </is>
      </c>
      <c r="F28" s="2" t="inlineStr">
        <is>
          <t>O (TeamDetailPage)</t>
        </is>
      </c>
      <c r="G28" s="2" t="inlineStr">
        <is>
          <t>O (TeamConfigPage)</t>
        </is>
      </c>
      <c r="H28" s="2" t="inlineStr">
        <is>
          <t>—</t>
        </is>
      </c>
      <c r="I28" s="2" t="inlineStr">
        <is>
          <t>Same teamStore, no role check on the QAM page.</t>
        </is>
      </c>
      <c r="J28" s="2" t="inlineStr">
        <is>
          <t>High</t>
        </is>
      </c>
      <c r="K28" s="2" t="inlineStr">
        <is>
          <t>Is team structure an operations decision (OM) or a quality decision (QAM)?</t>
        </is>
      </c>
      <c r="L28" s="2" t="inlineStr">
        <is>
          <t>OM owns membership; QAM read-only with a "request change" action.</t>
        </is>
      </c>
      <c r="M28" s="4" t="inlineStr"/>
      <c r="N28" s="4" t="inlineStr"/>
    </row>
    <row r="29">
      <c r="A29" s="2" t="inlineStr">
        <is>
          <t>M3</t>
        </is>
      </c>
      <c r="B29" s="2" t="inlineStr">
        <is>
          <t>Teams and roster</t>
        </is>
      </c>
      <c r="C29" s="3" t="inlineStr">
        <is>
          <t>Change agent or supervisor status</t>
        </is>
      </c>
      <c r="D29" s="2" t="inlineStr">
        <is>
          <t>—</t>
        </is>
      </c>
      <c r="E29" s="2" t="inlineStr">
        <is>
          <t>—</t>
        </is>
      </c>
      <c r="F29" s="2" t="inlineStr">
        <is>
          <t>—</t>
        </is>
      </c>
      <c r="G29" s="2" t="inlineStr">
        <is>
          <t>O</t>
        </is>
      </c>
      <c r="H29" s="2" t="inlineStr">
        <is>
          <t>—</t>
        </is>
      </c>
      <c r="I29" s="2" t="inlineStr">
        <is>
          <t>TeamConfigPage status menu.</t>
        </is>
      </c>
      <c r="J29" s="2" t="inlineStr">
        <is>
          <t>None</t>
        </is>
      </c>
      <c r="K29" s="2" t="inlineStr">
        <is>
          <t>—</t>
        </is>
      </c>
      <c r="L29" s="2" t="inlineStr">
        <is>
          <t>OM.</t>
        </is>
      </c>
      <c r="M29" s="4" t="inlineStr"/>
      <c r="N29" s="4" t="inlineStr"/>
    </row>
    <row r="30">
      <c r="A30" s="2" t="inlineStr">
        <is>
          <t>M4</t>
        </is>
      </c>
      <c r="B30" s="2" t="inlineStr">
        <is>
          <t>Teams and roster</t>
        </is>
      </c>
      <c r="C30" s="3" t="inlineStr">
        <is>
          <t>Assign campaigns to a team</t>
        </is>
      </c>
      <c r="D30" s="2" t="inlineStr">
        <is>
          <t>—</t>
        </is>
      </c>
      <c r="E30" s="2" t="inlineStr">
        <is>
          <t>—</t>
        </is>
      </c>
      <c r="F30" s="2" t="inlineStr">
        <is>
          <t>O</t>
        </is>
      </c>
      <c r="G30" s="2" t="inlineStr">
        <is>
          <t>—</t>
        </is>
      </c>
      <c r="H30" s="2" t="inlineStr">
        <is>
          <t>—</t>
        </is>
      </c>
      <c r="I30" s="2" t="inlineStr">
        <is>
          <t>teamCampaignIds[supervisorId], QAM page only.</t>
        </is>
      </c>
      <c r="J30" s="2" t="inlineStr">
        <is>
          <t>Low</t>
        </is>
      </c>
      <c r="K30" s="2" t="inlineStr">
        <is>
          <t>Should OM assign campaigns, since OM owns the structure?</t>
        </is>
      </c>
      <c r="L30" s="2" t="inlineStr">
        <is>
          <t>OM assigns campaigns; QAM views.</t>
        </is>
      </c>
      <c r="M30" s="4" t="inlineStr"/>
      <c r="N30" s="4" t="inlineStr"/>
    </row>
    <row r="31">
      <c r="A31" s="2" t="inlineStr">
        <is>
          <t>M5</t>
        </is>
      </c>
      <c r="B31" s="2" t="inlineStr">
        <is>
          <t>Teams and roster</t>
        </is>
      </c>
      <c r="C31" s="3" t="inlineStr">
        <is>
          <t>Edit the supervisor of a team</t>
        </is>
      </c>
      <c r="D31" s="2" t="inlineStr">
        <is>
          <t>—</t>
        </is>
      </c>
      <c r="E31" s="2" t="inlineStr">
        <is>
          <t>—</t>
        </is>
      </c>
      <c r="F31" s="2" t="inlineStr">
        <is>
          <t>O</t>
        </is>
      </c>
      <c r="G31" s="2" t="inlineStr">
        <is>
          <t>—</t>
        </is>
      </c>
      <c r="H31" s="2" t="inlineStr">
        <is>
          <t>—</t>
        </is>
      </c>
      <c r="I31" s="2" t="inlineStr">
        <is>
          <t>EditSupervisorModal, QAM page only.</t>
        </is>
      </c>
      <c r="J31" s="2" t="inlineStr">
        <is>
          <t>Low</t>
        </is>
      </c>
      <c r="K31" s="2" t="inlineStr">
        <is>
          <t>Same as M4.</t>
        </is>
      </c>
      <c r="L31" s="2" t="inlineStr">
        <is>
          <t>OM.</t>
        </is>
      </c>
      <c r="M31" s="4" t="inlineStr"/>
      <c r="N31" s="4" t="inlineStr"/>
    </row>
    <row r="32">
      <c r="A32" s="2" t="inlineStr">
        <is>
          <t>M6</t>
        </is>
      </c>
      <c r="B32" s="2" t="inlineStr">
        <is>
          <t>Teams and roster</t>
        </is>
      </c>
      <c r="C32" s="3" t="inlineStr">
        <is>
          <t>View team and agent profiles</t>
        </is>
      </c>
      <c r="D32" s="2" t="inlineStr">
        <is>
          <t>—</t>
        </is>
      </c>
      <c r="E32" s="2" t="inlineStr">
        <is>
          <t>V (own team)</t>
        </is>
      </c>
      <c r="F32" s="2" t="inlineStr">
        <is>
          <t>V (all)</t>
        </is>
      </c>
      <c r="G32" s="2" t="inlineStr">
        <is>
          <t>V (all, via QAM pages)</t>
        </is>
      </c>
      <c r="H32" s="2" t="inlineStr">
        <is>
          <t>—</t>
        </is>
      </c>
      <c r="I32" s="2" t="inlineStr">
        <is>
          <t>scopeAgents / roleFromPath.</t>
        </is>
      </c>
      <c r="J32" s="2" t="inlineStr">
        <is>
          <t>None</t>
        </is>
      </c>
      <c r="K32" s="2" t="inlineStr">
        <is>
          <t>—</t>
        </is>
      </c>
      <c r="L32" s="2" t="inlineStr">
        <is>
          <t>Keep.</t>
        </is>
      </c>
      <c r="M32" s="4" t="inlineStr"/>
      <c r="N32" s="4" t="inlineStr"/>
    </row>
    <row r="33">
      <c r="A33" s="2" t="inlineStr">
        <is>
          <t>S1</t>
        </is>
      </c>
      <c r="B33" s="2" t="inlineStr">
        <is>
          <t>Settings and thresholds</t>
        </is>
      </c>
      <c r="C33" s="3" t="inlineStr">
        <is>
          <t>Score bands, sentiment cut points, emotion to sentiment band</t>
        </is>
      </c>
      <c r="D33" s="2" t="inlineStr">
        <is>
          <t>—</t>
        </is>
      </c>
      <c r="E33" s="2" t="inlineStr">
        <is>
          <t>—</t>
        </is>
      </c>
      <c r="F33" s="2" t="inlineStr">
        <is>
          <t>O (QAM Settings, global settingsStore)</t>
        </is>
      </c>
      <c r="G33" s="2" t="inlineStr">
        <is>
          <t>—</t>
        </is>
      </c>
      <c r="H33" s="2" t="inlineStr">
        <is>
          <t>O (Global config globalConfigStore, separate scales and emotion levels)</t>
        </is>
      </c>
      <c r="I33" s="2" t="inlineStr">
        <is>
          <t>Two stores, never synced; QAM values drive every role's dashboards.</t>
        </is>
      </c>
      <c r="J33" s="2" t="inlineStr">
        <is>
          <t>High</t>
        </is>
      </c>
      <c r="K33" s="2" t="inlineStr">
        <is>
          <t>Who defines the scale: platform (SA) or client QA (QAM)? Can QAM override within limits?</t>
        </is>
      </c>
      <c r="L33" s="2" t="inlineStr">
        <is>
          <t>SA defines platform defaults and allowed ranges; QAM adjusts per client within them. One source of truth.</t>
        </is>
      </c>
      <c r="M33" s="4" t="inlineStr"/>
      <c r="N33" s="4" t="inlineStr"/>
    </row>
    <row r="34">
      <c r="A34" s="2" t="inlineStr">
        <is>
          <t>S2</t>
        </is>
      </c>
      <c r="B34" s="2" t="inlineStr">
        <is>
          <t>Settings and thresholds</t>
        </is>
      </c>
      <c r="C34" s="3" t="inlineStr">
        <is>
          <t>Business signal shares</t>
        </is>
      </c>
      <c r="D34" s="2" t="inlineStr">
        <is>
          <t>—</t>
        </is>
      </c>
      <c r="E34" s="2" t="inlineStr">
        <is>
          <t>—</t>
        </is>
      </c>
      <c r="F34" s="2" t="inlineStr">
        <is>
          <t>O</t>
        </is>
      </c>
      <c r="G34" s="2" t="inlineStr">
        <is>
          <t>—</t>
        </is>
      </c>
      <c r="H34" s="2" t="inlineStr">
        <is>
          <t>—</t>
        </is>
      </c>
      <c r="I34" s="2" t="inlineStr">
        <is>
          <t>QAM Settings.</t>
        </is>
      </c>
      <c r="J34" s="2" t="inlineStr">
        <is>
          <t>Low</t>
        </is>
      </c>
      <c r="K34" s="2" t="inlineStr">
        <is>
          <t>Same as S1.</t>
        </is>
      </c>
      <c r="L34" s="2" t="inlineStr">
        <is>
          <t>QAM.</t>
        </is>
      </c>
      <c r="M34" s="4" t="inlineStr"/>
      <c r="N34" s="4" t="inlineStr"/>
    </row>
    <row r="35">
      <c r="A35" s="2" t="inlineStr">
        <is>
          <t>S3</t>
        </is>
      </c>
      <c r="B35" s="2" t="inlineStr">
        <is>
          <t>Settings and thresholds</t>
        </is>
      </c>
      <c r="C35" s="3" t="inlineStr">
        <is>
          <t>Context rules, campaign types, naming convention, call analysis, evaluation settings</t>
        </is>
      </c>
      <c r="D35" s="2" t="inlineStr">
        <is>
          <t>—</t>
        </is>
      </c>
      <c r="E35" s="2" t="inlineStr">
        <is>
          <t>—</t>
        </is>
      </c>
      <c r="F35" s="2" t="inlineStr">
        <is>
          <t>—</t>
        </is>
      </c>
      <c r="G35" s="2" t="inlineStr">
        <is>
          <t>—</t>
        </is>
      </c>
      <c r="H35" s="2" t="inlineStr">
        <is>
          <t>O</t>
        </is>
      </c>
      <c r="I35" s="2" t="inlineStr">
        <is>
          <t>Global config only.</t>
        </is>
      </c>
      <c r="J35" s="2" t="inlineStr">
        <is>
          <t>None</t>
        </is>
      </c>
      <c r="K35" s="2" t="inlineStr">
        <is>
          <t>—</t>
        </is>
      </c>
      <c r="L35" s="2" t="inlineStr">
        <is>
          <t>SA.</t>
        </is>
      </c>
      <c r="M35" s="4" t="inlineStr"/>
      <c r="N35" s="4" t="inlineStr"/>
    </row>
    <row r="36">
      <c r="A36" s="2" t="inlineStr">
        <is>
          <t>P1</t>
        </is>
      </c>
      <c r="B36" s="2" t="inlineStr">
        <is>
          <t>Reports, analytics, customers, campaigns</t>
        </is>
      </c>
      <c r="C36" s="3" t="inlineStr">
        <is>
          <t>Build and schedule reports</t>
        </is>
      </c>
      <c r="D36" s="2" t="inlineStr">
        <is>
          <t>—</t>
        </is>
      </c>
      <c r="E36" s="2" t="inlineStr">
        <is>
          <t>O (scope locked to own team)</t>
        </is>
      </c>
      <c r="F36" s="2" t="inlineStr">
        <is>
          <t>O (any scope)</t>
        </is>
      </c>
      <c r="G36" s="2" t="inlineStr">
        <is>
          <t>O (as QAM)</t>
        </is>
      </c>
      <c r="H36" s="2" t="inlineStr">
        <is>
          <t>—</t>
        </is>
      </c>
      <c r="I36" s="2" t="inlineStr">
        <is>
          <t>definitionsForRole: S sees own + Team 1 reports.</t>
        </is>
      </c>
      <c r="J36" s="2" t="inlineStr">
        <is>
          <t>Low</t>
        </is>
      </c>
      <c r="K36" s="2" t="inlineStr">
        <is>
          <t>Should OM have its own report scope (operations) instead of the QAM one?</t>
        </is>
      </c>
      <c r="L36" s="2" t="inlineStr">
        <is>
          <t>Keep; give OM its own role in createdByRole.</t>
        </is>
      </c>
      <c r="M36" s="4" t="inlineStr"/>
      <c r="N36" s="4" t="inlineStr"/>
    </row>
    <row r="37">
      <c r="A37" s="2" t="inlineStr">
        <is>
          <t>P2</t>
        </is>
      </c>
      <c r="B37" s="2" t="inlineStr">
        <is>
          <t>Reports, analytics, customers, campaigns</t>
        </is>
      </c>
      <c r="C37" s="3" t="inlineStr">
        <is>
          <t>Analytics saved views</t>
        </is>
      </c>
      <c r="D37" s="2" t="inlineStr">
        <is>
          <t>—</t>
        </is>
      </c>
      <c r="E37" s="2" t="inlineStr">
        <is>
          <t>V/O</t>
        </is>
      </c>
      <c r="F37" s="2" t="inlineStr">
        <is>
          <t>V/O</t>
        </is>
      </c>
      <c r="G37" s="2" t="inlineStr">
        <is>
          <t>V/O</t>
        </is>
      </c>
      <c r="H37" s="2" t="inlineStr">
        <is>
          <t>—</t>
        </is>
      </c>
      <c r="I37" s="2" t="inlineStr">
        <is>
          <t>Saved views are shared across roles.</t>
        </is>
      </c>
      <c r="J37" s="2" t="inlineStr">
        <is>
          <t>Medium</t>
        </is>
      </c>
      <c r="K37" s="2" t="inlineStr">
        <is>
          <t>Per user, per role, or shared?</t>
        </is>
      </c>
      <c r="L37" s="2" t="inlineStr">
        <is>
          <t>Per user, with a "share with role" option.</t>
        </is>
      </c>
      <c r="M37" s="4" t="inlineStr"/>
      <c r="N37" s="4" t="inlineStr"/>
    </row>
    <row r="38">
      <c r="A38" s="2" t="inlineStr">
        <is>
          <t>P3</t>
        </is>
      </c>
      <c r="B38" s="2" t="inlineStr">
        <is>
          <t>Reports, analytics, customers, campaigns</t>
        </is>
      </c>
      <c r="C38" s="3" t="inlineStr">
        <is>
          <t>Customers: add note, set Do Not Call</t>
        </is>
      </c>
      <c r="D38" s="2" t="inlineStr">
        <is>
          <t>—</t>
        </is>
      </c>
      <c r="E38" s="2" t="inlineStr">
        <is>
          <t>A (team customers)</t>
        </is>
      </c>
      <c r="F38" s="2" t="inlineStr">
        <is>
          <t>A (all)</t>
        </is>
      </c>
      <c r="G38" s="2" t="inlineStr">
        <is>
          <t>A (as QAM)</t>
        </is>
      </c>
      <c r="H38" s="2" t="inlineStr">
        <is>
          <t>—</t>
        </is>
      </c>
      <c r="I38" s="2" t="inlineStr">
        <is>
          <t>visibleForRole.</t>
        </is>
      </c>
      <c r="J38" s="2" t="inlineStr">
        <is>
          <t>Low</t>
        </is>
      </c>
      <c r="K38" s="2" t="inlineStr">
        <is>
          <t>Who may set Do Not Call?</t>
        </is>
      </c>
      <c r="L38" s="2" t="inlineStr">
        <is>
          <t>Do Not Call: QAM (compliance); notes: both.</t>
        </is>
      </c>
      <c r="M38" s="4" t="inlineStr"/>
      <c r="N38" s="4" t="inlineStr"/>
    </row>
    <row r="39">
      <c r="A39" s="2" t="inlineStr">
        <is>
          <t>P4</t>
        </is>
      </c>
      <c r="B39" s="2" t="inlineStr">
        <is>
          <t>Reports, analytics, customers, campaigns</t>
        </is>
      </c>
      <c r="C39" s="3" t="inlineStr">
        <is>
          <t>Create a campaign</t>
        </is>
      </c>
      <c r="D39" s="2" t="inlineStr">
        <is>
          <t>—</t>
        </is>
      </c>
      <c r="E39" s="2" t="inlineStr">
        <is>
          <t>A (no role check)</t>
        </is>
      </c>
      <c r="F39" s="2" t="inlineStr">
        <is>
          <t>A</t>
        </is>
      </c>
      <c r="G39" s="2" t="inlineStr">
        <is>
          <t>—</t>
        </is>
      </c>
      <c r="H39" s="2" t="inlineStr">
        <is>
          <t>—</t>
        </is>
      </c>
      <c r="I39" s="2" t="inlineStr">
        <is>
          <t>"New campaign" button visible to both; model has no owner.</t>
        </is>
      </c>
      <c r="J39" s="2" t="inlineStr">
        <is>
          <t>Medium</t>
        </is>
      </c>
      <c r="K39" s="2" t="inlineStr">
        <is>
          <t>Campaign creation: QAM, OM, or an admin?</t>
        </is>
      </c>
      <c r="L39" s="2" t="inlineStr">
        <is>
          <t>QAM creates; OM assigns teams (M4).</t>
        </is>
      </c>
      <c r="M39" s="4" t="inlineStr"/>
      <c r="N39" s="4" t="inlineStr"/>
    </row>
  </sheetData>
  <autoFilter ref="A1:N39"/>
  <conditionalFormatting sqref="J2:J39">
    <cfRule type="expression" priority="1" dxfId="0">
      <formula>$J2="High"</formula>
    </cfRule>
    <cfRule type="expression" priority="2" dxfId="1">
      <formula>$J2="Medium"</formula>
    </cfRule>
  </conditionalFormatting>
  <conditionalFormatting sqref="A2:A39">
    <cfRule type="expression" priority="3" dxfId="2">
      <formula>$M2&lt;&gt;""</formula>
    </cfRule>
  </conditionalFormatting>
  <dataValidations count="1">
    <dataValidation sqref="M2:M39" showDropDown="0" showInputMessage="0" showErrorMessage="0" allowBlank="1" error="Pick one of the listed owners." prompt="Who owns this capability?" type="list">
      <formula1>"Supervisor,QA Manager,Operation Manager,Super Admin,Shared,Not needed"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s>
  <sheetData>
    <row r="1">
      <c r="A1" s="5" t="inlineStr">
        <is>
          <t>Role ownership matrix: progress</t>
        </is>
      </c>
    </row>
    <row r="2">
      <c r="A2" s="6" t="inlineStr">
        <is>
          <t>Counts update as decisions are filled in on the Matrix sheet (column M).</t>
        </is>
      </c>
    </row>
    <row r="4">
      <c r="A4" s="7" t="inlineStr">
        <is>
          <t>Section</t>
        </is>
      </c>
      <c r="B4" s="7" t="inlineStr">
        <is>
          <t>Capabilities</t>
        </is>
      </c>
      <c r="C4" s="7" t="inlineStr">
        <is>
          <t>High overlap</t>
        </is>
      </c>
      <c r="D4" s="7" t="inlineStr">
        <is>
          <t>Decided</t>
        </is>
      </c>
      <c r="E4" s="7" t="inlineStr">
        <is>
          <t>Open</t>
        </is>
      </c>
    </row>
    <row r="5">
      <c r="A5" s="8" t="inlineStr">
        <is>
          <t>Triggers (alert rules)</t>
        </is>
      </c>
      <c r="B5" s="8">
        <f>COUNTIF(Matrix!$B$2:$B$39,A5)</f>
        <v/>
      </c>
      <c r="C5" s="8">
        <f>COUNTIFS(Matrix!$B$2:$B$39,A5,Matrix!$J$2:$J$39,"High")</f>
        <v/>
      </c>
      <c r="D5" s="8">
        <f>COUNTIFS(Matrix!$B$2:$B$39,A5,Matrix!$M$2:$M$39,"&lt;&gt;")</f>
        <v/>
      </c>
      <c r="E5" s="8">
        <f>B5-D5</f>
        <v/>
      </c>
    </row>
    <row r="6">
      <c r="A6" s="8" t="inlineStr">
        <is>
          <t>Recognition (badges)</t>
        </is>
      </c>
      <c r="B6" s="8">
        <f>COUNTIF(Matrix!$B$2:$B$39,A6)</f>
        <v/>
      </c>
      <c r="C6" s="8">
        <f>COUNTIFS(Matrix!$B$2:$B$39,A6,Matrix!$J$2:$J$39,"High")</f>
        <v/>
      </c>
      <c r="D6" s="8">
        <f>COUNTIFS(Matrix!$B$2:$B$39,A6,Matrix!$M$2:$M$39,"&lt;&gt;")</f>
        <v/>
      </c>
      <c r="E6" s="8">
        <f>B6-D6</f>
        <v/>
      </c>
    </row>
    <row r="7">
      <c r="A7" s="8" t="inlineStr">
        <is>
          <t>Rankings (recognition programs)</t>
        </is>
      </c>
      <c r="B7" s="8">
        <f>COUNTIF(Matrix!$B$2:$B$39,A7)</f>
        <v/>
      </c>
      <c r="C7" s="8">
        <f>COUNTIFS(Matrix!$B$2:$B$39,A7,Matrix!$J$2:$J$39,"High")</f>
        <v/>
      </c>
      <c r="D7" s="8">
        <f>COUNTIFS(Matrix!$B$2:$B$39,A7,Matrix!$M$2:$M$39,"&lt;&gt;")</f>
        <v/>
      </c>
      <c r="E7" s="8">
        <f>B7-D7</f>
        <v/>
      </c>
    </row>
    <row r="8">
      <c r="A8" s="8" t="inlineStr">
        <is>
          <t>Coaching</t>
        </is>
      </c>
      <c r="B8" s="8">
        <f>COUNTIF(Matrix!$B$2:$B$39,A8)</f>
        <v/>
      </c>
      <c r="C8" s="8">
        <f>COUNTIFS(Matrix!$B$2:$B$39,A8,Matrix!$J$2:$J$39,"High")</f>
        <v/>
      </c>
      <c r="D8" s="8">
        <f>COUNTIFS(Matrix!$B$2:$B$39,A8,Matrix!$M$2:$M$39,"&lt;&gt;")</f>
        <v/>
      </c>
      <c r="E8" s="8">
        <f>B8-D8</f>
        <v/>
      </c>
    </row>
    <row r="9">
      <c r="A9" s="8" t="inlineStr">
        <is>
          <t>Learning (LMS)</t>
        </is>
      </c>
      <c r="B9" s="8">
        <f>COUNTIF(Matrix!$B$2:$B$39,A9)</f>
        <v/>
      </c>
      <c r="C9" s="8">
        <f>COUNTIFS(Matrix!$B$2:$B$39,A9,Matrix!$J$2:$J$39,"High")</f>
        <v/>
      </c>
      <c r="D9" s="8">
        <f>COUNTIFS(Matrix!$B$2:$B$39,A9,Matrix!$M$2:$M$39,"&lt;&gt;")</f>
        <v/>
      </c>
      <c r="E9" s="8">
        <f>B9-D9</f>
        <v/>
      </c>
    </row>
    <row r="10">
      <c r="A10" s="8" t="inlineStr">
        <is>
          <t>Disputes</t>
        </is>
      </c>
      <c r="B10" s="8">
        <f>COUNTIF(Matrix!$B$2:$B$39,A10)</f>
        <v/>
      </c>
      <c r="C10" s="8">
        <f>COUNTIFS(Matrix!$B$2:$B$39,A10,Matrix!$J$2:$J$39,"High")</f>
        <v/>
      </c>
      <c r="D10" s="8">
        <f>COUNTIFS(Matrix!$B$2:$B$39,A10,Matrix!$M$2:$M$39,"&lt;&gt;")</f>
        <v/>
      </c>
      <c r="E10" s="8">
        <f>B10-D10</f>
        <v/>
      </c>
    </row>
    <row r="11">
      <c r="A11" s="8" t="inlineStr">
        <is>
          <t>Teams and roster</t>
        </is>
      </c>
      <c r="B11" s="8">
        <f>COUNTIF(Matrix!$B$2:$B$39,A11)</f>
        <v/>
      </c>
      <c r="C11" s="8">
        <f>COUNTIFS(Matrix!$B$2:$B$39,A11,Matrix!$J$2:$J$39,"High")</f>
        <v/>
      </c>
      <c r="D11" s="8">
        <f>COUNTIFS(Matrix!$B$2:$B$39,A11,Matrix!$M$2:$M$39,"&lt;&gt;")</f>
        <v/>
      </c>
      <c r="E11" s="8">
        <f>B11-D11</f>
        <v/>
      </c>
    </row>
    <row r="12">
      <c r="A12" s="8" t="inlineStr">
        <is>
          <t>Settings and thresholds</t>
        </is>
      </c>
      <c r="B12" s="8">
        <f>COUNTIF(Matrix!$B$2:$B$39,A12)</f>
        <v/>
      </c>
      <c r="C12" s="8">
        <f>COUNTIFS(Matrix!$B$2:$B$39,A12,Matrix!$J$2:$J$39,"High")</f>
        <v/>
      </c>
      <c r="D12" s="8">
        <f>COUNTIFS(Matrix!$B$2:$B$39,A12,Matrix!$M$2:$M$39,"&lt;&gt;")</f>
        <v/>
      </c>
      <c r="E12" s="8">
        <f>B12-D12</f>
        <v/>
      </c>
    </row>
    <row r="13">
      <c r="A13" s="8" t="inlineStr">
        <is>
          <t>Reports, analytics, customers, campaigns</t>
        </is>
      </c>
      <c r="B13" s="8">
        <f>COUNTIF(Matrix!$B$2:$B$39,A13)</f>
        <v/>
      </c>
      <c r="C13" s="8">
        <f>COUNTIFS(Matrix!$B$2:$B$39,A13,Matrix!$J$2:$J$39,"High")</f>
        <v/>
      </c>
      <c r="D13" s="8">
        <f>COUNTIFS(Matrix!$B$2:$B$39,A13,Matrix!$M$2:$M$39,"&lt;&gt;")</f>
        <v/>
      </c>
      <c r="E13" s="8">
        <f>B13-D13</f>
        <v/>
      </c>
    </row>
    <row r="14">
      <c r="A14" s="9" t="inlineStr">
        <is>
          <t>Total</t>
        </is>
      </c>
      <c r="B14" s="9">
        <f>SUM(B5:B13)</f>
        <v/>
      </c>
      <c r="C14" s="9">
        <f>SUM(C5:C13)</f>
        <v/>
      </c>
      <c r="D14" s="9">
        <f>SUM(D5:D13)</f>
        <v/>
      </c>
      <c r="E14" s="9">
        <f>SUM(E5:E13)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2" customWidth="1" min="1" max="1"/>
    <col width="110" customWidth="1" min="2" max="2"/>
  </cols>
  <sheetData>
    <row r="1">
      <c r="A1" s="10" t="inlineStr">
        <is>
          <t>Code</t>
        </is>
      </c>
      <c r="B1" s="10" t="inlineStr">
        <is>
          <t>Meaning</t>
        </is>
      </c>
    </row>
    <row r="2">
      <c r="A2" s="11" t="inlineStr">
        <is>
          <t>O</t>
        </is>
      </c>
      <c r="B2" s="12" t="inlineStr">
        <is>
          <t>Owns: creates and configures it</t>
        </is>
      </c>
    </row>
    <row r="3">
      <c r="A3" s="11" t="inlineStr">
        <is>
          <t>E</t>
        </is>
      </c>
      <c r="B3" s="12" t="inlineStr">
        <is>
          <t>Can edit items created by another role</t>
        </is>
      </c>
    </row>
    <row r="4">
      <c r="A4" s="11" t="inlineStr">
        <is>
          <t>A</t>
        </is>
      </c>
      <c r="B4" s="12" t="inlineStr">
        <is>
          <t>Acts: performs the action (open, acknowledge, resolve, award)</t>
        </is>
      </c>
    </row>
    <row r="5">
      <c r="A5" s="11" t="inlineStr">
        <is>
          <t>V</t>
        </is>
      </c>
      <c r="B5" s="12" t="inlineStr">
        <is>
          <t>Views only</t>
        </is>
      </c>
    </row>
    <row r="6">
      <c r="A6" s="11" t="inlineStr">
        <is>
          <t>R</t>
        </is>
      </c>
      <c r="B6" s="12" t="inlineStr">
        <is>
          <t>Receives / is affected by it</t>
        </is>
      </c>
    </row>
    <row r="7">
      <c r="A7" s="11" t="inlineStr">
        <is>
          <t>—</t>
        </is>
      </c>
      <c r="B7" s="12" t="inlineStr">
        <is>
          <t>No access</t>
        </is>
      </c>
    </row>
    <row r="8">
      <c r="A8" s="11" t="inlineStr"/>
      <c r="B8" s="12" t="inlineStr"/>
    </row>
    <row r="9">
      <c r="A9" s="11" t="inlineStr">
        <is>
          <t>How to use</t>
        </is>
      </c>
      <c r="B9" s="12" t="inlineStr">
        <is>
          <t>Go section by section, High overlap rows first. Read Scope today, then Overlap, then the Open question. Discuss the Proposal and fill the yellow Decision and Note cells on the Matrix sheet.</t>
        </is>
      </c>
    </row>
    <row r="10">
      <c r="A10" s="11" t="inlineStr">
        <is>
          <t>Roles</t>
        </is>
      </c>
      <c r="B10" s="12" t="inlineStr">
        <is>
          <t>S = Supervisor · QAM = QA Manager · OM = Operation Manager · SA = Super Admin</t>
        </is>
      </c>
    </row>
    <row r="11">
      <c r="A11" s="11" t="inlineStr">
        <is>
          <t>Personas in the mock</t>
        </is>
      </c>
      <c r="B11" s="12" t="inlineStr">
        <is>
          <t>SUP-001 Maria García (Team 1), QAM-001 Elena Ruiz, OPM-001 Sofía Navarro, AGT-004 John Smith</t>
        </is>
      </c>
    </row>
    <row r="12">
      <c r="A12" s="11" t="inlineStr">
        <is>
          <t>Source</t>
        </is>
      </c>
      <c r="B12" s="12" t="inlineStr">
        <is>
          <t>Snapshot of the mock repository on 2026-10-21 (branch feature/coaching-agent-post-coaching). Proposals are a starting point, not a decision.</t>
        </is>
      </c>
    </row>
    <row r="13">
      <c r="A13" s="11" t="inlineStr">
        <is>
          <t>Yellow cells</t>
        </is>
      </c>
      <c r="B13" s="12" t="inlineStr">
        <is>
          <t>The only cells to fill in: Decision (dropdown) and Note on the Matrix sheet.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 customWidth="1" min="1" max="1"/>
    <col width="120" customWidth="1" min="2" max="2"/>
  </cols>
  <sheetData>
    <row r="1">
      <c r="A1" s="10" t="inlineStr">
        <is>
          <t>#</t>
        </is>
      </c>
      <c r="B1" s="10" t="inlineStr">
        <is>
          <t>Inconsistency to fix (for developers)</t>
        </is>
      </c>
    </row>
    <row r="2">
      <c r="A2" s="12" t="n">
        <v>1</v>
      </c>
      <c r="B2" s="12" t="inlineStr">
        <is>
          <t>TriggersPage stamps QAM rules as "Laura Gómez" (SUP-003's name); the QAM persona is Elena Ruiz.</t>
        </is>
      </c>
    </row>
    <row r="3">
      <c r="A3" s="12" t="n">
        <v>2</v>
      </c>
      <c r="B3" s="12" t="inlineStr">
        <is>
          <t>The Supervisor's trigger agent picker lists every agent; the supervisorIds=['SUP-001'] default is not enforced.</t>
        </is>
      </c>
    </row>
    <row r="4">
      <c r="A4" s="12" t="n">
        <v>3</v>
      </c>
      <c r="B4" s="12" t="inlineStr">
        <is>
          <t>roleFromPath knows only supervisor and qa-manager; the Operation Manager reaches QA Manager pages and is recorded as QA_MANAGER.</t>
        </is>
      </c>
    </row>
    <row r="5">
      <c r="A5" s="12" t="n">
        <v>4</v>
      </c>
      <c r="B5" s="12" t="inlineStr">
        <is>
          <t>The legacy /qa/qamanager/disputes path is scoped as agent.</t>
        </is>
      </c>
    </row>
    <row r="6">
      <c r="A6" s="12" t="n">
        <v>5</v>
      </c>
      <c r="B6" s="12" t="inlineStr">
        <is>
          <t>QA Manager Settings and Super Admin Global config keep separate scales and emotion mappings.</t>
        </is>
      </c>
    </row>
    <row r="7">
      <c r="A7" s="12" t="n">
        <v>6</v>
      </c>
      <c r="B7" s="12" t="inlineStr">
        <is>
          <t>getSuperAdminNavigation() is never rendered; the Super Admin Coaching and LMS entries open a placeholder.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2026-10-21T19:36:21Z</dcterms:created>
  <dcterms:modified xsi:type="dcterms:W3CDTF">2026-10-21T19:36:21Z</dcterms:modified>
</cp:coreProperties>
</file>